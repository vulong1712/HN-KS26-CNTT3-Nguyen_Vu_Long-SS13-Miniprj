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iproject\greentech-system\data\"/>
    </mc:Choice>
  </mc:AlternateContent>
  <xr:revisionPtr revIDLastSave="0" documentId="8_{44BE927B-1C6A-45AE-AA7B-C4F826555E1B}" xr6:coauthVersionLast="47" xr6:coauthVersionMax="47" xr10:uidLastSave="{00000000-0000-0000-0000-000000000000}"/>
  <bookViews>
    <workbookView xWindow="-110" yWindow="-110" windowWidth="25820" windowHeight="15500" xr2:uid="{E3B6CB57-C037-4C74-BB56-04D90263180E}"/>
  </bookViews>
  <sheets>
    <sheet name="danh-muc-linh-kien" sheetId="1" r:id="rId1"/>
    <sheet name="trang-thai-tr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2" i="2"/>
</calcChain>
</file>

<file path=xl/sharedStrings.xml><?xml version="1.0" encoding="utf-8"?>
<sst xmlns="http://schemas.openxmlformats.org/spreadsheetml/2006/main" count="52" uniqueCount="32">
  <si>
    <t>ma_linh_kien</t>
  </si>
  <si>
    <t>ten_thiet_bi</t>
  </si>
  <si>
    <t>don_gia</t>
  </si>
  <si>
    <t>loai_storage</t>
  </si>
  <si>
    <t>LK-RAM-8G</t>
  </si>
  <si>
    <t>Kingston RAM 8GB DDR4</t>
  </si>
  <si>
    <t>LK-RAM-16G</t>
  </si>
  <si>
    <t>Corsair RAM 16GB DDR4</t>
  </si>
  <si>
    <t>LK-SSD-256G</t>
  </si>
  <si>
    <t>Samsung SSD 256GB NVMe</t>
  </si>
  <si>
    <t>SSD</t>
  </si>
  <si>
    <t>LK-SSD-512G</t>
  </si>
  <si>
    <t>Kingston SSD 512GB NVMe</t>
  </si>
  <si>
    <t>LK-HDD-1TB</t>
  </si>
  <si>
    <t>WD Blue HDD 1TB</t>
  </si>
  <si>
    <t>HDD</t>
  </si>
  <si>
    <t>LK-CPU-I5</t>
  </si>
  <si>
    <t>Intel Core i5-12400</t>
  </si>
  <si>
    <t>ma_tram</t>
  </si>
  <si>
    <t>dung_luong_ram</t>
  </si>
  <si>
    <t>ngay_lap_dat</t>
  </si>
  <si>
    <t>TRAM-001</t>
  </si>
  <si>
    <t>8GB</t>
  </si>
  <si>
    <t>TRAM-002</t>
  </si>
  <si>
    <t>TRAM-003</t>
  </si>
  <si>
    <t>16GB</t>
  </si>
  <si>
    <t>TRAM-004</t>
  </si>
  <si>
    <t>TRAM-005</t>
  </si>
  <si>
    <t>TRAM-006</t>
  </si>
  <si>
    <t>32GB</t>
  </si>
  <si>
    <t>RAM</t>
  </si>
  <si>
    <t>CPU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</si>
</sst>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left" vertical="center" wrapText="1" indent="1"/>
    </xf>
    <xf numFmtId="14" fontId="1" fillId="0" borderId="0" xfId="0" applyNumberFormat="1" applyFont="1" applyBorder="1" applyAlignment="1">
      <alignment horizontal="left" vertical="center" wrapText="1" indent="1"/>
    </xf>
    <xf numFmtId="0" fontId="0" fillId="0" borderId="0" xfId="0" applyFont="1" applyBorder="1"/>
    <xf numFmtId="0" fontId="1" fillId="0" borderId="0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01F6-C992-4420-9FE8-DDA51C5AA4D9}">
  <dimension ref="A1:D7"/>
  <sheetViews>
    <sheetView tabSelected="1" workbookViewId="0">
      <selection activeCell="C2" sqref="C2"/>
    </sheetView>
  </sheetViews>
  <sheetFormatPr defaultRowHeight="14.5" x14ac:dyDescent="0.35"/>
  <cols>
    <col min="1" max="1" width="14.7265625" style="3" bestFit="1" customWidth="1"/>
    <col min="2" max="2" width="28.08984375" style="3" bestFit="1" customWidth="1"/>
    <col min="3" max="3" width="9.54296875" style="3" bestFit="1" customWidth="1"/>
    <col min="4" max="4" width="13.26953125" style="3" bestFit="1" customWidth="1"/>
    <col min="5" max="16384" width="8.7265625" style="3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>
        <v>650000</v>
      </c>
      <c r="D2" s="1" t="s">
        <v>30</v>
      </c>
    </row>
    <row r="3" spans="1:4" x14ac:dyDescent="0.35">
      <c r="A3" s="1" t="s">
        <v>6</v>
      </c>
      <c r="B3" s="1" t="s">
        <v>7</v>
      </c>
      <c r="C3" s="1">
        <v>1200000</v>
      </c>
      <c r="D3" s="1" t="s">
        <v>30</v>
      </c>
    </row>
    <row r="4" spans="1:4" x14ac:dyDescent="0.35">
      <c r="A4" s="1" t="s">
        <v>8</v>
      </c>
      <c r="B4" s="1" t="s">
        <v>9</v>
      </c>
      <c r="C4" s="1">
        <v>850000</v>
      </c>
      <c r="D4" s="1" t="s">
        <v>10</v>
      </c>
    </row>
    <row r="5" spans="1:4" x14ac:dyDescent="0.35">
      <c r="A5" s="1" t="s">
        <v>11</v>
      </c>
      <c r="B5" s="1" t="s">
        <v>12</v>
      </c>
      <c r="C5" s="1">
        <v>1400000</v>
      </c>
      <c r="D5" s="1" t="s">
        <v>10</v>
      </c>
    </row>
    <row r="6" spans="1:4" x14ac:dyDescent="0.35">
      <c r="A6" s="1" t="s">
        <v>13</v>
      </c>
      <c r="B6" s="1" t="s">
        <v>14</v>
      </c>
      <c r="C6" s="1">
        <v>1100000</v>
      </c>
      <c r="D6" s="1" t="s">
        <v>15</v>
      </c>
    </row>
    <row r="7" spans="1:4" x14ac:dyDescent="0.35">
      <c r="A7" s="1" t="s">
        <v>16</v>
      </c>
      <c r="B7" s="1" t="s">
        <v>17</v>
      </c>
      <c r="C7" s="1">
        <v>3800000</v>
      </c>
      <c r="D7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4F40-188C-4AE5-B244-C587E24B1BDC}">
  <dimension ref="A1:F7"/>
  <sheetViews>
    <sheetView workbookViewId="0">
      <selection activeCell="F8" sqref="F8"/>
    </sheetView>
  </sheetViews>
  <sheetFormatPr defaultRowHeight="14.5" x14ac:dyDescent="0.35"/>
  <cols>
    <col min="1" max="1" width="11.6328125" style="3" bestFit="1" customWidth="1"/>
    <col min="2" max="2" width="19.08984375" style="3" bestFit="1" customWidth="1"/>
    <col min="3" max="3" width="26.26953125" style="3" bestFit="1" customWidth="1"/>
    <col min="4" max="4" width="17.7265625" style="3" bestFit="1" customWidth="1"/>
    <col min="5" max="5" width="14.26953125" style="3" bestFit="1" customWidth="1"/>
    <col min="6" max="6" width="12.7265625" style="3" bestFit="1" customWidth="1"/>
    <col min="7" max="16384" width="8.7265625" style="3"/>
  </cols>
  <sheetData>
    <row r="1" spans="1:6" ht="28" x14ac:dyDescent="0.35">
      <c r="A1" s="1" t="s">
        <v>18</v>
      </c>
      <c r="B1" s="1" t="s">
        <v>0</v>
      </c>
      <c r="C1" s="1" t="s">
        <v>1</v>
      </c>
      <c r="D1" s="1" t="s">
        <v>19</v>
      </c>
      <c r="E1" s="1" t="s">
        <v>20</v>
      </c>
      <c r="F1" s="4" t="s">
        <v>3</v>
      </c>
    </row>
    <row r="2" spans="1:6" x14ac:dyDescent="0.35">
      <c r="A2" s="1" t="s">
        <v>21</v>
      </c>
      <c r="B2" s="1" t="s">
        <v>4</v>
      </c>
      <c r="C2" s="1" t="str">
        <f>VLOOKUP(TRIM(B2), 'danh-muc-linh-kien'!$A$2:$D$7, 2, FALSE)</f>
        <v>Kingston RAM 8GB DDR4</v>
      </c>
      <c r="D2" s="1" t="s">
        <v>22</v>
      </c>
      <c r="E2" s="2">
        <v>46037</v>
      </c>
      <c r="F2" s="4" t="s">
        <v>30</v>
      </c>
    </row>
    <row r="3" spans="1:6" ht="28" x14ac:dyDescent="0.35">
      <c r="A3" s="1" t="s">
        <v>23</v>
      </c>
      <c r="B3" s="1" t="s">
        <v>8</v>
      </c>
      <c r="C3" s="1" t="str">
        <f>VLOOKUP(TRIM(B3), 'danh-muc-linh-kien'!$A$2:$D$7, 2, FALSE)</f>
        <v>Samsung SSD 256GB NVMe</v>
      </c>
      <c r="D3" s="1" t="s">
        <v>22</v>
      </c>
      <c r="E3" s="2">
        <v>46038</v>
      </c>
      <c r="F3" s="4" t="s">
        <v>10</v>
      </c>
    </row>
    <row r="4" spans="1:6" x14ac:dyDescent="0.35">
      <c r="A4" s="1" t="s">
        <v>24</v>
      </c>
      <c r="B4" s="1" t="s">
        <v>6</v>
      </c>
      <c r="C4" s="1" t="str">
        <f>VLOOKUP(TRIM(B4), 'danh-muc-linh-kien'!$A$2:$D$7, 2, FALSE)</f>
        <v>Corsair RAM 16GB DDR4</v>
      </c>
      <c r="D4" s="1" t="s">
        <v>25</v>
      </c>
      <c r="E4" s="2">
        <v>46054</v>
      </c>
      <c r="F4" s="4" t="s">
        <v>30</v>
      </c>
    </row>
    <row r="5" spans="1:6" ht="28" x14ac:dyDescent="0.35">
      <c r="A5" s="1" t="s">
        <v>26</v>
      </c>
      <c r="B5" s="1" t="s">
        <v>11</v>
      </c>
      <c r="C5" s="1" t="str">
        <f>VLOOKUP(TRIM(B5), 'danh-muc-linh-kien'!$A$2:$D$7, 2, FALSE)</f>
        <v>Kingston SSD 512GB NVMe</v>
      </c>
      <c r="D5" s="1" t="s">
        <v>25</v>
      </c>
      <c r="E5" s="2">
        <v>46063</v>
      </c>
      <c r="F5" s="4" t="s">
        <v>10</v>
      </c>
    </row>
    <row r="6" spans="1:6" x14ac:dyDescent="0.35">
      <c r="A6" s="1" t="s">
        <v>27</v>
      </c>
      <c r="B6" s="1" t="s">
        <v>13</v>
      </c>
      <c r="C6" s="1" t="str">
        <f>VLOOKUP(TRIM(B6), 'danh-muc-linh-kien'!$A$2:$D$7, 2, FALSE)</f>
        <v>WD Blue HDD 1TB</v>
      </c>
      <c r="D6" s="1" t="s">
        <v>22</v>
      </c>
      <c r="E6" s="2">
        <v>46086</v>
      </c>
      <c r="F6" s="4" t="s">
        <v>15</v>
      </c>
    </row>
    <row r="7" spans="1:6" x14ac:dyDescent="0.35">
      <c r="A7" s="1" t="s">
        <v>28</v>
      </c>
      <c r="B7" s="1" t="s">
        <v>16</v>
      </c>
      <c r="C7" s="1" t="str">
        <f>VLOOKUP(TRIM(B7), 'danh-muc-linh-kien'!$A$2:$D$7, 2, FALSE)</f>
        <v>Intel Core i5-12400</v>
      </c>
      <c r="D7" s="1" t="s">
        <v>29</v>
      </c>
      <c r="E7" s="2">
        <v>46101</v>
      </c>
      <c r="F7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Đào Tuấn Đạt</dc:creator>
  <cp:lastModifiedBy>Đào Tuấn Đạt</cp:lastModifiedBy>
  <dcterms:created xsi:type="dcterms:W3CDTF">2026-10-27T06:25:55Z</dcterms:created>
  <dcterms:modified xsi:type="dcterms:W3CDTF">2026-10-27T06:34:31Z</dcterms:modified>
</cp:coreProperties>
</file>